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zuffa/Desktop/Manuscript_AMP_Perinatal/data_weight/"/>
    </mc:Choice>
  </mc:AlternateContent>
  <xr:revisionPtr revIDLastSave="0" documentId="13_ncr:1_{29529620-2C23-374F-A517-F3135C67EE3D}" xr6:coauthVersionLast="47" xr6:coauthVersionMax="47" xr10:uidLastSave="{00000000-0000-0000-0000-000000000000}"/>
  <bookViews>
    <workbookView xWindow="0" yWindow="660" windowWidth="30240" windowHeight="17220" xr2:uid="{B54B48B0-14E6-1746-A4BD-157FC60AEC67}"/>
  </bookViews>
  <sheets>
    <sheet name="Dams" sheetId="1" r:id="rId1"/>
    <sheet name="Pups_Hypo1" sheetId="3" r:id="rId2"/>
    <sheet name="Pups_Hypo2" sheetId="2" r:id="rId3"/>
  </sheets>
  <definedNames>
    <definedName name="_xlnm._FilterDatabase" localSheetId="2" hidden="1">Pups_Hypo2!$A$1:$D$1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7" i="1"/>
  <c r="J35" i="1"/>
  <c r="J34" i="1"/>
  <c r="J21" i="1"/>
  <c r="J20" i="1"/>
  <c r="G27" i="1"/>
  <c r="G22" i="1"/>
  <c r="G34" i="1"/>
  <c r="G32" i="1"/>
  <c r="G17" i="1"/>
  <c r="G12" i="1"/>
  <c r="F33" i="1"/>
  <c r="F34" i="1"/>
  <c r="F35" i="1"/>
  <c r="F32" i="1"/>
  <c r="F22" i="1"/>
  <c r="F23" i="1"/>
  <c r="F24" i="1"/>
  <c r="F25" i="1"/>
  <c r="F26" i="1"/>
  <c r="F27" i="1"/>
  <c r="F28" i="1"/>
  <c r="F29" i="1"/>
  <c r="F30" i="1"/>
  <c r="F31" i="1"/>
  <c r="F13" i="1"/>
  <c r="F14" i="1"/>
  <c r="F15" i="1"/>
  <c r="F16" i="1"/>
  <c r="F17" i="1"/>
  <c r="F18" i="1"/>
  <c r="F19" i="1"/>
  <c r="F20" i="1"/>
  <c r="F21" i="1"/>
  <c r="F1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<sst xmlns="http://schemas.openxmlformats.org/spreadsheetml/2006/main" count="289" uniqueCount="40">
  <si>
    <t>Cage</t>
  </si>
  <si>
    <t>Cage 1</t>
  </si>
  <si>
    <t>Cage 2</t>
  </si>
  <si>
    <t>Cage 3</t>
  </si>
  <si>
    <t>Cage 4</t>
  </si>
  <si>
    <t>Cage 5</t>
  </si>
  <si>
    <t>Cage 6</t>
  </si>
  <si>
    <t>Cage 7</t>
  </si>
  <si>
    <t>Cage 8</t>
  </si>
  <si>
    <t>Cage 9</t>
  </si>
  <si>
    <t>Cage 10</t>
  </si>
  <si>
    <t>Hypothesis</t>
  </si>
  <si>
    <t>Batch</t>
  </si>
  <si>
    <t>Pups_D1</t>
  </si>
  <si>
    <t>Pups_D21</t>
  </si>
  <si>
    <t>Deaths</t>
  </si>
  <si>
    <t>Cage 4_2</t>
  </si>
  <si>
    <t>Cage 7_2</t>
  </si>
  <si>
    <t>Cage 3_2</t>
  </si>
  <si>
    <t>Cage 9_2</t>
  </si>
  <si>
    <t>Cage 13</t>
  </si>
  <si>
    <t>F</t>
  </si>
  <si>
    <t>M</t>
  </si>
  <si>
    <t xml:space="preserve">Cage 1 </t>
  </si>
  <si>
    <t>Weight</t>
  </si>
  <si>
    <t>milking was stressing the animals cause we had to separate them</t>
  </si>
  <si>
    <t>Cage 4-2</t>
  </si>
  <si>
    <t>Cage  7-2</t>
  </si>
  <si>
    <t>Cage 3-2</t>
  </si>
  <si>
    <t>Cage  9-2</t>
  </si>
  <si>
    <t>PBS</t>
  </si>
  <si>
    <t>Treatment</t>
  </si>
  <si>
    <t>AMP</t>
  </si>
  <si>
    <t>Sex</t>
  </si>
  <si>
    <t>SD litter</t>
  </si>
  <si>
    <t>Mean litter</t>
  </si>
  <si>
    <t>milk was then not collected in the second batch</t>
  </si>
  <si>
    <t>Batch 1</t>
  </si>
  <si>
    <t>Batch 2</t>
  </si>
  <si>
    <t>All data collected from batch 1  was then not considered for weight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</si>
</sst>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2D6"/>
        <bgColor indexed="64"/>
      </patternFill>
    </fill>
    <fill>
      <patternFill patternType="solid">
        <fgColor rgb="FFCBEDFB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0" xfId="0" applyFont="1" applyFill="1"/>
    <xf numFmtId="0" fontId="4" fillId="0" borderId="0" xfId="0" applyFont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BEDFB"/>
      <color rgb="FFFCE2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7B10-7BF4-2147-B70A-297D68F302C9}">
  <dimension ref="A1:J35"/>
  <sheetViews>
    <sheetView tabSelected="1" workbookViewId="0">
      <selection activeCell="L10" sqref="L10"/>
    </sheetView>
  </sheetViews>
  <sheetFormatPr baseColWidth="10" defaultRowHeight="16" x14ac:dyDescent="0.2"/>
  <cols>
    <col min="1" max="1" width="12" bestFit="1" customWidth="1"/>
    <col min="2" max="2" width="6.83203125" bestFit="1" customWidth="1"/>
    <col min="3" max="3" width="8.5" bestFit="1" customWidth="1"/>
    <col min="4" max="4" width="9.83203125" bestFit="1" customWidth="1"/>
    <col min="5" max="5" width="11" bestFit="1" customWidth="1"/>
    <col min="6" max="6" width="8" bestFit="1" customWidth="1"/>
  </cols>
  <sheetData>
    <row r="1" spans="1:10" ht="17" thickBot="1" x14ac:dyDescent="0.25">
      <c r="A1" s="1" t="s">
        <v>11</v>
      </c>
      <c r="B1" s="1" t="s">
        <v>12</v>
      </c>
      <c r="C1" s="1" t="s">
        <v>0</v>
      </c>
      <c r="D1" s="1" t="s">
        <v>13</v>
      </c>
      <c r="E1" s="1" t="s">
        <v>14</v>
      </c>
      <c r="F1" s="1" t="s">
        <v>15</v>
      </c>
    </row>
    <row r="2" spans="1:10" x14ac:dyDescent="0.2">
      <c r="A2" s="4">
        <v>1</v>
      </c>
      <c r="B2" s="5">
        <v>1</v>
      </c>
      <c r="C2" s="6" t="s">
        <v>1</v>
      </c>
      <c r="D2" s="5">
        <v>7</v>
      </c>
      <c r="E2" s="5">
        <v>5</v>
      </c>
      <c r="F2" s="7">
        <f>D2-E2</f>
        <v>2</v>
      </c>
      <c r="G2" s="8">
        <f>SUM(E2:E6)</f>
        <v>10</v>
      </c>
      <c r="H2" s="9"/>
      <c r="I2" s="9" t="s">
        <v>25</v>
      </c>
      <c r="J2" s="9"/>
    </row>
    <row r="3" spans="1:10" x14ac:dyDescent="0.2">
      <c r="A3" s="10">
        <v>1</v>
      </c>
      <c r="B3" s="11">
        <v>1</v>
      </c>
      <c r="C3" s="12" t="s">
        <v>2</v>
      </c>
      <c r="D3" s="11">
        <v>6</v>
      </c>
      <c r="E3" s="11">
        <v>0</v>
      </c>
      <c r="F3" s="13">
        <f t="shared" ref="F3:F11" si="0">D3-E3</f>
        <v>6</v>
      </c>
      <c r="G3" s="9"/>
      <c r="H3" s="9"/>
      <c r="I3" s="9" t="s">
        <v>36</v>
      </c>
      <c r="J3" s="9"/>
    </row>
    <row r="4" spans="1:10" x14ac:dyDescent="0.2">
      <c r="A4" s="10">
        <v>1</v>
      </c>
      <c r="B4" s="11">
        <v>1</v>
      </c>
      <c r="C4" s="12" t="s">
        <v>3</v>
      </c>
      <c r="D4" s="11">
        <v>7</v>
      </c>
      <c r="E4" s="11">
        <v>0</v>
      </c>
      <c r="F4" s="13">
        <f t="shared" si="0"/>
        <v>7</v>
      </c>
      <c r="G4" s="9"/>
      <c r="H4" s="9"/>
      <c r="I4" s="9" t="s">
        <v>39</v>
      </c>
      <c r="J4" s="9"/>
    </row>
    <row r="5" spans="1:10" x14ac:dyDescent="0.2">
      <c r="A5" s="10">
        <v>1</v>
      </c>
      <c r="B5" s="11">
        <v>1</v>
      </c>
      <c r="C5" s="12" t="s">
        <v>4</v>
      </c>
      <c r="D5" s="11">
        <v>8</v>
      </c>
      <c r="E5" s="11">
        <v>5</v>
      </c>
      <c r="F5" s="13">
        <f t="shared" si="0"/>
        <v>3</v>
      </c>
      <c r="G5" s="9"/>
      <c r="H5" s="9"/>
      <c r="I5" s="9"/>
      <c r="J5" s="9"/>
    </row>
    <row r="6" spans="1:10" x14ac:dyDescent="0.2">
      <c r="A6" s="10">
        <v>1</v>
      </c>
      <c r="B6" s="11">
        <v>1</v>
      </c>
      <c r="C6" s="12" t="s">
        <v>5</v>
      </c>
      <c r="D6" s="11">
        <v>4</v>
      </c>
      <c r="E6" s="11">
        <v>0</v>
      </c>
      <c r="F6" s="13">
        <f t="shared" si="0"/>
        <v>4</v>
      </c>
      <c r="G6" s="9"/>
      <c r="H6" s="9"/>
      <c r="I6" s="9"/>
      <c r="J6" s="9"/>
    </row>
    <row r="7" spans="1:10" x14ac:dyDescent="0.2">
      <c r="A7" s="10">
        <v>1</v>
      </c>
      <c r="B7" s="11">
        <v>1</v>
      </c>
      <c r="C7" s="14" t="s">
        <v>6</v>
      </c>
      <c r="D7" s="11">
        <v>7</v>
      </c>
      <c r="E7" s="11">
        <v>6</v>
      </c>
      <c r="F7" s="13">
        <f t="shared" si="0"/>
        <v>1</v>
      </c>
      <c r="G7" s="15">
        <f>SUM(E7:E11)</f>
        <v>26</v>
      </c>
      <c r="H7" s="9"/>
      <c r="I7" s="9"/>
      <c r="J7" s="9"/>
    </row>
    <row r="8" spans="1:10" x14ac:dyDescent="0.2">
      <c r="A8" s="10">
        <v>1</v>
      </c>
      <c r="B8" s="11">
        <v>1</v>
      </c>
      <c r="C8" s="14" t="s">
        <v>7</v>
      </c>
      <c r="D8" s="11">
        <v>7</v>
      </c>
      <c r="E8" s="11">
        <v>7</v>
      </c>
      <c r="F8" s="13">
        <f t="shared" si="0"/>
        <v>0</v>
      </c>
      <c r="G8" s="9"/>
      <c r="H8" s="9"/>
      <c r="I8" s="9"/>
      <c r="J8" s="9"/>
    </row>
    <row r="9" spans="1:10" x14ac:dyDescent="0.2">
      <c r="A9" s="10">
        <v>1</v>
      </c>
      <c r="B9" s="11">
        <v>1</v>
      </c>
      <c r="C9" s="14" t="s">
        <v>8</v>
      </c>
      <c r="D9" s="11">
        <v>7</v>
      </c>
      <c r="E9" s="11">
        <v>7</v>
      </c>
      <c r="F9" s="13">
        <f t="shared" si="0"/>
        <v>0</v>
      </c>
      <c r="G9" s="9"/>
      <c r="H9" s="9"/>
      <c r="I9" s="9"/>
      <c r="J9" s="9"/>
    </row>
    <row r="10" spans="1:10" x14ac:dyDescent="0.2">
      <c r="A10" s="10">
        <v>1</v>
      </c>
      <c r="B10" s="11">
        <v>1</v>
      </c>
      <c r="C10" s="14" t="s">
        <v>9</v>
      </c>
      <c r="D10" s="11">
        <v>4</v>
      </c>
      <c r="E10" s="11">
        <v>0</v>
      </c>
      <c r="F10" s="13">
        <f t="shared" si="0"/>
        <v>4</v>
      </c>
      <c r="G10" s="9"/>
      <c r="H10" s="9"/>
      <c r="I10" s="9"/>
      <c r="J10" s="9"/>
    </row>
    <row r="11" spans="1:10" ht="17" thickBot="1" x14ac:dyDescent="0.25">
      <c r="A11" s="16">
        <v>1</v>
      </c>
      <c r="B11" s="17">
        <v>1</v>
      </c>
      <c r="C11" s="18" t="s">
        <v>10</v>
      </c>
      <c r="D11" s="17">
        <v>6</v>
      </c>
      <c r="E11" s="17">
        <v>6</v>
      </c>
      <c r="F11" s="19">
        <f t="shared" si="0"/>
        <v>0</v>
      </c>
      <c r="G11" s="9"/>
      <c r="H11" s="9"/>
      <c r="I11" s="9"/>
      <c r="J11" s="9"/>
    </row>
    <row r="12" spans="1:10" x14ac:dyDescent="0.2">
      <c r="A12" s="4">
        <v>2</v>
      </c>
      <c r="B12" s="5">
        <v>1</v>
      </c>
      <c r="C12" s="6" t="s">
        <v>1</v>
      </c>
      <c r="D12" s="5">
        <v>7</v>
      </c>
      <c r="E12" s="5">
        <v>0</v>
      </c>
      <c r="F12" s="7">
        <f>D12-E12</f>
        <v>7</v>
      </c>
      <c r="G12" s="8">
        <f>SUM(E12:E16)</f>
        <v>0</v>
      </c>
      <c r="H12" s="9"/>
      <c r="I12" s="9"/>
      <c r="J12" s="9"/>
    </row>
    <row r="13" spans="1:10" x14ac:dyDescent="0.2">
      <c r="A13" s="10">
        <v>2</v>
      </c>
      <c r="B13" s="11">
        <v>1</v>
      </c>
      <c r="C13" s="12" t="s">
        <v>2</v>
      </c>
      <c r="D13" s="11">
        <v>9</v>
      </c>
      <c r="E13" s="11">
        <v>0</v>
      </c>
      <c r="F13" s="13">
        <f t="shared" ref="F13:F31" si="1">D13-E13</f>
        <v>9</v>
      </c>
      <c r="G13" s="9"/>
      <c r="H13" s="9"/>
      <c r="I13" s="9"/>
      <c r="J13" s="9"/>
    </row>
    <row r="14" spans="1:10" x14ac:dyDescent="0.2">
      <c r="A14" s="10">
        <v>2</v>
      </c>
      <c r="B14" s="11">
        <v>1</v>
      </c>
      <c r="C14" s="12" t="s">
        <v>3</v>
      </c>
      <c r="D14" s="11">
        <v>8</v>
      </c>
      <c r="E14" s="11">
        <v>0</v>
      </c>
      <c r="F14" s="13">
        <f t="shared" si="1"/>
        <v>8</v>
      </c>
      <c r="G14" s="9"/>
      <c r="H14" s="9"/>
      <c r="I14" s="9"/>
      <c r="J14" s="9"/>
    </row>
    <row r="15" spans="1:10" x14ac:dyDescent="0.2">
      <c r="A15" s="10">
        <v>2</v>
      </c>
      <c r="B15" s="11">
        <v>1</v>
      </c>
      <c r="C15" s="12" t="s">
        <v>4</v>
      </c>
      <c r="D15" s="11">
        <v>8</v>
      </c>
      <c r="E15" s="11">
        <v>0</v>
      </c>
      <c r="F15" s="13">
        <f t="shared" si="1"/>
        <v>8</v>
      </c>
      <c r="G15" s="9"/>
      <c r="H15" s="9"/>
      <c r="I15" s="9"/>
      <c r="J15" s="9"/>
    </row>
    <row r="16" spans="1:10" x14ac:dyDescent="0.2">
      <c r="A16" s="10">
        <v>2</v>
      </c>
      <c r="B16" s="11">
        <v>1</v>
      </c>
      <c r="C16" s="12" t="s">
        <v>5</v>
      </c>
      <c r="D16" s="11">
        <v>8</v>
      </c>
      <c r="E16" s="11">
        <v>0</v>
      </c>
      <c r="F16" s="13">
        <f t="shared" si="1"/>
        <v>8</v>
      </c>
      <c r="G16" s="9"/>
      <c r="H16" s="9"/>
      <c r="I16" s="9"/>
      <c r="J16" s="9"/>
    </row>
    <row r="17" spans="1:10" x14ac:dyDescent="0.2">
      <c r="A17" s="10">
        <v>2</v>
      </c>
      <c r="B17" s="11">
        <v>1</v>
      </c>
      <c r="C17" s="14" t="s">
        <v>6</v>
      </c>
      <c r="D17" s="11">
        <v>6</v>
      </c>
      <c r="E17" s="11">
        <v>0</v>
      </c>
      <c r="F17" s="13">
        <f t="shared" si="1"/>
        <v>6</v>
      </c>
      <c r="G17" s="15">
        <f>SUM(E17:E21)</f>
        <v>0</v>
      </c>
      <c r="H17" s="9"/>
      <c r="I17" s="9"/>
      <c r="J17" s="9"/>
    </row>
    <row r="18" spans="1:10" x14ac:dyDescent="0.2">
      <c r="A18" s="10">
        <v>2</v>
      </c>
      <c r="B18" s="11">
        <v>1</v>
      </c>
      <c r="C18" s="14" t="s">
        <v>7</v>
      </c>
      <c r="D18" s="11">
        <v>8</v>
      </c>
      <c r="E18" s="11">
        <v>0</v>
      </c>
      <c r="F18" s="13">
        <f t="shared" si="1"/>
        <v>8</v>
      </c>
      <c r="G18" s="9"/>
      <c r="H18" s="9"/>
      <c r="I18" s="9"/>
      <c r="J18" s="9"/>
    </row>
    <row r="19" spans="1:10" x14ac:dyDescent="0.2">
      <c r="A19" s="10">
        <v>2</v>
      </c>
      <c r="B19" s="11">
        <v>1</v>
      </c>
      <c r="C19" s="14" t="s">
        <v>8</v>
      </c>
      <c r="D19" s="11">
        <v>8</v>
      </c>
      <c r="E19" s="11">
        <v>0</v>
      </c>
      <c r="F19" s="13">
        <f t="shared" si="1"/>
        <v>8</v>
      </c>
      <c r="G19" s="9"/>
      <c r="H19" s="9"/>
      <c r="I19" s="20" t="s">
        <v>37</v>
      </c>
      <c r="J19" s="9"/>
    </row>
    <row r="20" spans="1:10" x14ac:dyDescent="0.2">
      <c r="A20" s="10">
        <v>2</v>
      </c>
      <c r="B20" s="11">
        <v>1</v>
      </c>
      <c r="C20" s="14" t="s">
        <v>9</v>
      </c>
      <c r="D20" s="11">
        <v>6</v>
      </c>
      <c r="E20" s="11">
        <v>0</v>
      </c>
      <c r="F20" s="13">
        <f t="shared" si="1"/>
        <v>6</v>
      </c>
      <c r="G20" s="9"/>
      <c r="H20" s="9"/>
      <c r="I20" s="9" t="s">
        <v>35</v>
      </c>
      <c r="J20" s="9">
        <f>+AVERAGE(D2:D21)</f>
        <v>6.95</v>
      </c>
    </row>
    <row r="21" spans="1:10" ht="17" thickBot="1" x14ac:dyDescent="0.25">
      <c r="A21" s="16">
        <v>2</v>
      </c>
      <c r="B21" s="17">
        <v>1</v>
      </c>
      <c r="C21" s="18" t="s">
        <v>10</v>
      </c>
      <c r="D21" s="17">
        <v>8</v>
      </c>
      <c r="E21" s="17">
        <v>0</v>
      </c>
      <c r="F21" s="19">
        <f t="shared" si="1"/>
        <v>8</v>
      </c>
      <c r="G21" s="9"/>
      <c r="H21" s="9"/>
      <c r="I21" s="9" t="s">
        <v>34</v>
      </c>
      <c r="J21" s="9">
        <f>STDEV(D2:D21)</f>
        <v>1.3168942730211077</v>
      </c>
    </row>
    <row r="22" spans="1:10" x14ac:dyDescent="0.2">
      <c r="A22" s="4">
        <v>2</v>
      </c>
      <c r="B22" s="5">
        <v>2</v>
      </c>
      <c r="C22" s="6" t="s">
        <v>1</v>
      </c>
      <c r="D22" s="5">
        <v>8</v>
      </c>
      <c r="E22" s="5">
        <v>8</v>
      </c>
      <c r="F22" s="7">
        <f t="shared" si="1"/>
        <v>0</v>
      </c>
      <c r="G22" s="8">
        <f>SUM(E22:E26)</f>
        <v>37</v>
      </c>
      <c r="H22" s="9"/>
      <c r="I22" s="9"/>
      <c r="J22" s="9"/>
    </row>
    <row r="23" spans="1:10" x14ac:dyDescent="0.2">
      <c r="A23" s="10">
        <v>2</v>
      </c>
      <c r="B23" s="11">
        <v>2</v>
      </c>
      <c r="C23" s="12" t="s">
        <v>4</v>
      </c>
      <c r="D23" s="11">
        <v>7</v>
      </c>
      <c r="E23" s="11">
        <v>7</v>
      </c>
      <c r="F23" s="13">
        <f t="shared" si="1"/>
        <v>0</v>
      </c>
      <c r="G23" s="9"/>
      <c r="H23" s="9"/>
      <c r="I23" s="9"/>
      <c r="J23" s="9"/>
    </row>
    <row r="24" spans="1:10" x14ac:dyDescent="0.2">
      <c r="A24" s="10">
        <v>2</v>
      </c>
      <c r="B24" s="11">
        <v>2</v>
      </c>
      <c r="C24" s="12" t="s">
        <v>10</v>
      </c>
      <c r="D24" s="11">
        <v>9</v>
      </c>
      <c r="E24" s="11">
        <v>9</v>
      </c>
      <c r="F24" s="13">
        <f t="shared" si="1"/>
        <v>0</v>
      </c>
      <c r="G24" s="9"/>
      <c r="H24" s="9"/>
      <c r="I24" s="9"/>
      <c r="J24" s="9"/>
    </row>
    <row r="25" spans="1:10" x14ac:dyDescent="0.2">
      <c r="A25" s="10">
        <v>2</v>
      </c>
      <c r="B25" s="11">
        <v>2</v>
      </c>
      <c r="C25" s="12" t="s">
        <v>16</v>
      </c>
      <c r="D25" s="11">
        <v>6</v>
      </c>
      <c r="E25" s="11">
        <v>6</v>
      </c>
      <c r="F25" s="13">
        <f t="shared" si="1"/>
        <v>0</v>
      </c>
      <c r="G25" s="9"/>
      <c r="H25" s="9"/>
      <c r="I25" s="9"/>
      <c r="J25" s="9"/>
    </row>
    <row r="26" spans="1:10" x14ac:dyDescent="0.2">
      <c r="A26" s="10">
        <v>2</v>
      </c>
      <c r="B26" s="11">
        <v>2</v>
      </c>
      <c r="C26" s="12" t="s">
        <v>17</v>
      </c>
      <c r="D26" s="11">
        <v>7</v>
      </c>
      <c r="E26" s="11">
        <v>7</v>
      </c>
      <c r="F26" s="13">
        <f t="shared" si="1"/>
        <v>0</v>
      </c>
      <c r="G26" s="9"/>
      <c r="H26" s="9"/>
      <c r="I26" s="9"/>
      <c r="J26" s="9"/>
    </row>
    <row r="27" spans="1:10" x14ac:dyDescent="0.2">
      <c r="A27" s="10">
        <v>2</v>
      </c>
      <c r="B27" s="11">
        <v>2</v>
      </c>
      <c r="C27" s="14" t="s">
        <v>5</v>
      </c>
      <c r="D27" s="11">
        <v>5</v>
      </c>
      <c r="E27" s="11">
        <v>0</v>
      </c>
      <c r="F27" s="13">
        <f t="shared" si="1"/>
        <v>5</v>
      </c>
      <c r="G27" s="15">
        <f>SUM(E27:E31)</f>
        <v>30</v>
      </c>
      <c r="H27" s="9"/>
      <c r="I27" s="9"/>
      <c r="J27" s="9"/>
    </row>
    <row r="28" spans="1:10" x14ac:dyDescent="0.2">
      <c r="A28" s="10">
        <v>2</v>
      </c>
      <c r="B28" s="11">
        <v>2</v>
      </c>
      <c r="C28" s="14" t="s">
        <v>6</v>
      </c>
      <c r="D28" s="11">
        <v>9</v>
      </c>
      <c r="E28" s="11">
        <v>8</v>
      </c>
      <c r="F28" s="13">
        <f t="shared" si="1"/>
        <v>1</v>
      </c>
      <c r="G28" s="9"/>
      <c r="H28" s="9"/>
      <c r="I28" s="9"/>
      <c r="J28" s="9"/>
    </row>
    <row r="29" spans="1:10" x14ac:dyDescent="0.2">
      <c r="A29" s="10">
        <v>2</v>
      </c>
      <c r="B29" s="11">
        <v>2</v>
      </c>
      <c r="C29" s="14" t="s">
        <v>7</v>
      </c>
      <c r="D29" s="11">
        <v>8</v>
      </c>
      <c r="E29" s="11">
        <v>7</v>
      </c>
      <c r="F29" s="13">
        <f t="shared" si="1"/>
        <v>1</v>
      </c>
      <c r="G29" s="9"/>
      <c r="H29" s="9"/>
      <c r="I29" s="9"/>
      <c r="J29" s="9"/>
    </row>
    <row r="30" spans="1:10" x14ac:dyDescent="0.2">
      <c r="A30" s="10">
        <v>2</v>
      </c>
      <c r="B30" s="11">
        <v>2</v>
      </c>
      <c r="C30" s="14" t="s">
        <v>18</v>
      </c>
      <c r="D30" s="11">
        <v>7</v>
      </c>
      <c r="E30" s="11">
        <v>7</v>
      </c>
      <c r="F30" s="13">
        <f t="shared" si="1"/>
        <v>0</v>
      </c>
      <c r="G30" s="9"/>
      <c r="H30" s="9"/>
      <c r="I30" s="9"/>
      <c r="J30" s="9"/>
    </row>
    <row r="31" spans="1:10" ht="17" thickBot="1" x14ac:dyDescent="0.25">
      <c r="A31" s="16">
        <v>2</v>
      </c>
      <c r="B31" s="17">
        <v>2</v>
      </c>
      <c r="C31" s="18" t="s">
        <v>19</v>
      </c>
      <c r="D31" s="17">
        <v>8</v>
      </c>
      <c r="E31" s="17">
        <v>8</v>
      </c>
      <c r="F31" s="19">
        <f t="shared" si="1"/>
        <v>0</v>
      </c>
      <c r="G31" s="9"/>
      <c r="H31" s="9"/>
      <c r="I31" s="9"/>
      <c r="J31" s="9"/>
    </row>
    <row r="32" spans="1:10" x14ac:dyDescent="0.2">
      <c r="A32" s="4">
        <v>1</v>
      </c>
      <c r="B32" s="5">
        <v>2</v>
      </c>
      <c r="C32" s="6" t="s">
        <v>1</v>
      </c>
      <c r="D32" s="5">
        <v>6</v>
      </c>
      <c r="E32" s="5">
        <v>6</v>
      </c>
      <c r="F32" s="7">
        <f>D32-E32</f>
        <v>0</v>
      </c>
      <c r="G32" s="8">
        <f>SUM(E32+E33)</f>
        <v>13</v>
      </c>
      <c r="H32" s="9"/>
      <c r="I32" s="9"/>
      <c r="J32" s="9"/>
    </row>
    <row r="33" spans="1:10" x14ac:dyDescent="0.2">
      <c r="A33" s="10">
        <v>1</v>
      </c>
      <c r="B33" s="11">
        <v>2</v>
      </c>
      <c r="C33" s="12" t="s">
        <v>4</v>
      </c>
      <c r="D33" s="11">
        <v>7</v>
      </c>
      <c r="E33" s="11">
        <v>7</v>
      </c>
      <c r="F33" s="13">
        <f t="shared" ref="F33:F35" si="2">D33-E33</f>
        <v>0</v>
      </c>
      <c r="G33" s="9"/>
      <c r="H33" s="9"/>
      <c r="I33" s="20" t="s">
        <v>38</v>
      </c>
      <c r="J33" s="9"/>
    </row>
    <row r="34" spans="1:10" x14ac:dyDescent="0.2">
      <c r="A34" s="10">
        <v>1</v>
      </c>
      <c r="B34" s="11">
        <v>2</v>
      </c>
      <c r="C34" s="14" t="s">
        <v>7</v>
      </c>
      <c r="D34" s="11">
        <v>7</v>
      </c>
      <c r="E34" s="11">
        <v>7</v>
      </c>
      <c r="F34" s="13">
        <f t="shared" si="2"/>
        <v>0</v>
      </c>
      <c r="G34" s="15">
        <f>SUM(E34+E35)</f>
        <v>16</v>
      </c>
      <c r="H34" s="9"/>
      <c r="I34" s="9" t="s">
        <v>35</v>
      </c>
      <c r="J34" s="9">
        <f>+AVERAGE(D22:D35)</f>
        <v>7.3571428571428568</v>
      </c>
    </row>
    <row r="35" spans="1:10" ht="17" thickBot="1" x14ac:dyDescent="0.25">
      <c r="A35" s="16">
        <v>1</v>
      </c>
      <c r="B35" s="17">
        <v>2</v>
      </c>
      <c r="C35" s="18" t="s">
        <v>20</v>
      </c>
      <c r="D35" s="17">
        <v>9</v>
      </c>
      <c r="E35" s="17">
        <v>9</v>
      </c>
      <c r="F35" s="19">
        <f t="shared" si="2"/>
        <v>0</v>
      </c>
      <c r="G35" s="9"/>
      <c r="H35" s="9"/>
      <c r="I35" s="9" t="s">
        <v>34</v>
      </c>
      <c r="J35" s="9">
        <f>STDEV(D22:D35)</f>
        <v>1.2157392722216283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C802-67B2-7447-B3EE-744DD32BF42B}">
  <dimension ref="A1:E30"/>
  <sheetViews>
    <sheetView workbookViewId="0">
      <selection activeCell="I8" sqref="I8"/>
    </sheetView>
  </sheetViews>
  <sheetFormatPr baseColWidth="10" defaultRowHeight="16" x14ac:dyDescent="0.2"/>
  <cols>
    <col min="1" max="1" width="12" style="2" bestFit="1" customWidth="1"/>
    <col min="2" max="2" width="6.1640625" style="2" bestFit="1" customWidth="1"/>
    <col min="3" max="3" width="4.83203125" style="2" bestFit="1" customWidth="1"/>
    <col min="4" max="4" width="7.6640625" style="2" bestFit="1" customWidth="1"/>
    <col min="5" max="5" width="7.5" style="2" bestFit="1" customWidth="1"/>
    <col min="6" max="16384" width="10.83203125" style="2"/>
  </cols>
  <sheetData>
    <row r="1" spans="1:5" s="2" customFormat="1" x14ac:dyDescent="0.2">
      <c r="A1" s="1" t="s">
        <v>11</v>
      </c>
      <c r="B1" s="1" t="s">
        <v>0</v>
      </c>
      <c r="C1" s="1" t="s">
        <v>33</v>
      </c>
      <c r="D1" s="1" t="s">
        <v>24</v>
      </c>
      <c r="E1" s="1" t="s">
        <v>32</v>
      </c>
    </row>
    <row r="2" spans="1:5" s="2" customFormat="1" x14ac:dyDescent="0.2">
      <c r="A2" s="3">
        <v>1</v>
      </c>
      <c r="B2" s="3">
        <v>1</v>
      </c>
      <c r="C2" s="3" t="s">
        <v>21</v>
      </c>
      <c r="D2" s="3">
        <v>13.39</v>
      </c>
      <c r="E2" s="3" t="b">
        <v>1</v>
      </c>
    </row>
    <row r="3" spans="1:5" s="2" customFormat="1" x14ac:dyDescent="0.2">
      <c r="A3" s="3">
        <v>1</v>
      </c>
      <c r="B3" s="3">
        <v>1</v>
      </c>
      <c r="C3" s="3" t="s">
        <v>21</v>
      </c>
      <c r="D3" s="3">
        <v>12.93</v>
      </c>
      <c r="E3" s="3" t="b">
        <v>1</v>
      </c>
    </row>
    <row r="4" spans="1:5" s="2" customFormat="1" x14ac:dyDescent="0.2">
      <c r="A4" s="3">
        <v>1</v>
      </c>
      <c r="B4" s="3">
        <v>1</v>
      </c>
      <c r="C4" s="3" t="s">
        <v>21</v>
      </c>
      <c r="D4" s="3">
        <v>10.19</v>
      </c>
      <c r="E4" s="3" t="b">
        <v>1</v>
      </c>
    </row>
    <row r="5" spans="1:5" s="2" customFormat="1" x14ac:dyDescent="0.2">
      <c r="A5" s="3">
        <v>1</v>
      </c>
      <c r="B5" s="3">
        <v>1</v>
      </c>
      <c r="C5" s="3" t="s">
        <v>21</v>
      </c>
      <c r="D5" s="3">
        <v>13</v>
      </c>
      <c r="E5" s="3" t="b">
        <v>1</v>
      </c>
    </row>
    <row r="6" spans="1:5" s="2" customFormat="1" x14ac:dyDescent="0.2">
      <c r="A6" s="3">
        <v>1</v>
      </c>
      <c r="B6" s="3">
        <v>1</v>
      </c>
      <c r="C6" s="3" t="s">
        <v>22</v>
      </c>
      <c r="D6" s="3">
        <v>14.49</v>
      </c>
      <c r="E6" s="3" t="b">
        <v>1</v>
      </c>
    </row>
    <row r="7" spans="1:5" s="2" customFormat="1" x14ac:dyDescent="0.2">
      <c r="A7" s="3">
        <v>1</v>
      </c>
      <c r="B7" s="3">
        <v>1</v>
      </c>
      <c r="C7" s="3" t="s">
        <v>22</v>
      </c>
      <c r="D7" s="3">
        <v>13.69</v>
      </c>
      <c r="E7" s="3" t="b">
        <v>1</v>
      </c>
    </row>
    <row r="8" spans="1:5" s="2" customFormat="1" x14ac:dyDescent="0.2">
      <c r="A8" s="3">
        <v>1</v>
      </c>
      <c r="B8" s="3">
        <v>4</v>
      </c>
      <c r="C8" s="3" t="s">
        <v>21</v>
      </c>
      <c r="D8" s="3">
        <v>9.2899999999999991</v>
      </c>
      <c r="E8" s="3" t="b">
        <v>1</v>
      </c>
    </row>
    <row r="9" spans="1:5" s="2" customFormat="1" x14ac:dyDescent="0.2">
      <c r="A9" s="3">
        <v>1</v>
      </c>
      <c r="B9" s="3">
        <v>4</v>
      </c>
      <c r="C9" s="3" t="s">
        <v>21</v>
      </c>
      <c r="D9" s="3">
        <v>10.49</v>
      </c>
      <c r="E9" s="3" t="b">
        <v>1</v>
      </c>
    </row>
    <row r="10" spans="1:5" s="2" customFormat="1" x14ac:dyDescent="0.2">
      <c r="A10" s="3">
        <v>1</v>
      </c>
      <c r="B10" s="3">
        <v>4</v>
      </c>
      <c r="C10" s="3" t="s">
        <v>21</v>
      </c>
      <c r="D10" s="3">
        <v>10.29</v>
      </c>
      <c r="E10" s="3" t="b">
        <v>1</v>
      </c>
    </row>
    <row r="11" spans="1:5" s="2" customFormat="1" x14ac:dyDescent="0.2">
      <c r="A11" s="3">
        <v>1</v>
      </c>
      <c r="B11" s="3">
        <v>4</v>
      </c>
      <c r="C11" s="3" t="s">
        <v>21</v>
      </c>
      <c r="D11" s="3">
        <v>11.19</v>
      </c>
      <c r="E11" s="3" t="b">
        <v>1</v>
      </c>
    </row>
    <row r="12" spans="1:5" s="2" customFormat="1" x14ac:dyDescent="0.2">
      <c r="A12" s="3">
        <v>1</v>
      </c>
      <c r="B12" s="3">
        <v>4</v>
      </c>
      <c r="C12" s="3" t="s">
        <v>21</v>
      </c>
      <c r="D12" s="3">
        <v>12.19</v>
      </c>
      <c r="E12" s="3" t="b">
        <v>1</v>
      </c>
    </row>
    <row r="13" spans="1:5" s="2" customFormat="1" x14ac:dyDescent="0.2">
      <c r="A13" s="3">
        <v>1</v>
      </c>
      <c r="B13" s="3">
        <v>4</v>
      </c>
      <c r="C13" s="3" t="s">
        <v>22</v>
      </c>
      <c r="D13" s="3">
        <v>10.49</v>
      </c>
      <c r="E13" s="3" t="b">
        <v>1</v>
      </c>
    </row>
    <row r="14" spans="1:5" s="2" customFormat="1" x14ac:dyDescent="0.2">
      <c r="A14" s="3">
        <v>1</v>
      </c>
      <c r="B14" s="3">
        <v>4</v>
      </c>
      <c r="C14" s="3" t="s">
        <v>22</v>
      </c>
      <c r="D14" s="3">
        <v>11.89</v>
      </c>
      <c r="E14" s="3" t="b">
        <v>1</v>
      </c>
    </row>
    <row r="15" spans="1:5" s="2" customFormat="1" x14ac:dyDescent="0.2">
      <c r="A15" s="3">
        <v>1</v>
      </c>
      <c r="B15" s="3">
        <v>7</v>
      </c>
      <c r="C15" s="3" t="s">
        <v>21</v>
      </c>
      <c r="D15" s="3">
        <v>11.8</v>
      </c>
      <c r="E15" s="3" t="b">
        <v>0</v>
      </c>
    </row>
    <row r="16" spans="1:5" s="2" customFormat="1" x14ac:dyDescent="0.2">
      <c r="A16" s="3">
        <v>1</v>
      </c>
      <c r="B16" s="3">
        <v>7</v>
      </c>
      <c r="C16" s="3" t="s">
        <v>21</v>
      </c>
      <c r="D16" s="3">
        <v>11.9</v>
      </c>
      <c r="E16" s="3" t="b">
        <v>0</v>
      </c>
    </row>
    <row r="17" spans="1:5" s="2" customFormat="1" x14ac:dyDescent="0.2">
      <c r="A17" s="3">
        <v>1</v>
      </c>
      <c r="B17" s="3">
        <v>7</v>
      </c>
      <c r="C17" s="3" t="s">
        <v>21</v>
      </c>
      <c r="D17" s="3">
        <v>12.1</v>
      </c>
      <c r="E17" s="3" t="b">
        <v>0</v>
      </c>
    </row>
    <row r="18" spans="1:5" s="2" customFormat="1" x14ac:dyDescent="0.2">
      <c r="A18" s="3">
        <v>1</v>
      </c>
      <c r="B18" s="3">
        <v>7</v>
      </c>
      <c r="C18" s="3" t="s">
        <v>22</v>
      </c>
      <c r="D18" s="3">
        <v>12</v>
      </c>
      <c r="E18" s="3" t="b">
        <v>0</v>
      </c>
    </row>
    <row r="19" spans="1:5" s="2" customFormat="1" x14ac:dyDescent="0.2">
      <c r="A19" s="3">
        <v>1</v>
      </c>
      <c r="B19" s="3">
        <v>7</v>
      </c>
      <c r="C19" s="3" t="s">
        <v>22</v>
      </c>
      <c r="D19" s="3">
        <v>12.2</v>
      </c>
      <c r="E19" s="3" t="b">
        <v>0</v>
      </c>
    </row>
    <row r="20" spans="1:5" s="2" customFormat="1" x14ac:dyDescent="0.2">
      <c r="A20" s="3">
        <v>1</v>
      </c>
      <c r="B20" s="3">
        <v>7</v>
      </c>
      <c r="C20" s="3" t="s">
        <v>22</v>
      </c>
      <c r="D20" s="3">
        <v>11.6</v>
      </c>
      <c r="E20" s="3" t="b">
        <v>0</v>
      </c>
    </row>
    <row r="21" spans="1:5" s="2" customFormat="1" x14ac:dyDescent="0.2">
      <c r="A21" s="3">
        <v>1</v>
      </c>
      <c r="B21" s="3">
        <v>7</v>
      </c>
      <c r="C21" s="3" t="s">
        <v>22</v>
      </c>
      <c r="D21" s="3">
        <v>12.5</v>
      </c>
      <c r="E21" s="3" t="b">
        <v>0</v>
      </c>
    </row>
    <row r="22" spans="1:5" s="2" customFormat="1" x14ac:dyDescent="0.2">
      <c r="A22" s="3">
        <v>1</v>
      </c>
      <c r="B22" s="3">
        <v>13</v>
      </c>
      <c r="C22" s="3" t="s">
        <v>21</v>
      </c>
      <c r="D22" s="3">
        <v>7.49</v>
      </c>
      <c r="E22" s="3" t="b">
        <v>0</v>
      </c>
    </row>
    <row r="23" spans="1:5" s="2" customFormat="1" x14ac:dyDescent="0.2">
      <c r="A23" s="3">
        <v>1</v>
      </c>
      <c r="B23" s="3">
        <v>13</v>
      </c>
      <c r="C23" s="3" t="s">
        <v>21</v>
      </c>
      <c r="D23" s="3">
        <v>8.39</v>
      </c>
      <c r="E23" s="3" t="b">
        <v>0</v>
      </c>
    </row>
    <row r="24" spans="1:5" s="2" customFormat="1" x14ac:dyDescent="0.2">
      <c r="A24" s="3">
        <v>1</v>
      </c>
      <c r="B24" s="3">
        <v>13</v>
      </c>
      <c r="C24" s="3" t="s">
        <v>21</v>
      </c>
      <c r="D24" s="3">
        <v>8.09</v>
      </c>
      <c r="E24" s="3" t="b">
        <v>0</v>
      </c>
    </row>
    <row r="25" spans="1:5" s="2" customFormat="1" x14ac:dyDescent="0.2">
      <c r="A25" s="3">
        <v>1</v>
      </c>
      <c r="B25" s="3">
        <v>13</v>
      </c>
      <c r="C25" s="3" t="s">
        <v>21</v>
      </c>
      <c r="D25" s="3">
        <v>8.49</v>
      </c>
      <c r="E25" s="3" t="b">
        <v>0</v>
      </c>
    </row>
    <row r="26" spans="1:5" s="2" customFormat="1" x14ac:dyDescent="0.2">
      <c r="A26" s="3">
        <v>1</v>
      </c>
      <c r="B26" s="3">
        <v>13</v>
      </c>
      <c r="C26" s="3" t="s">
        <v>21</v>
      </c>
      <c r="D26" s="3">
        <v>7.79</v>
      </c>
      <c r="E26" s="3" t="b">
        <v>0</v>
      </c>
    </row>
    <row r="27" spans="1:5" s="2" customFormat="1" x14ac:dyDescent="0.2">
      <c r="A27" s="3">
        <v>1</v>
      </c>
      <c r="B27" s="3">
        <v>13</v>
      </c>
      <c r="C27" s="3" t="s">
        <v>22</v>
      </c>
      <c r="D27" s="3">
        <v>9.2899999999999991</v>
      </c>
      <c r="E27" s="3" t="b">
        <v>0</v>
      </c>
    </row>
    <row r="28" spans="1:5" s="2" customFormat="1" x14ac:dyDescent="0.2">
      <c r="A28" s="3">
        <v>1</v>
      </c>
      <c r="B28" s="3">
        <v>13</v>
      </c>
      <c r="C28" s="3" t="s">
        <v>22</v>
      </c>
      <c r="D28" s="3">
        <v>8.09</v>
      </c>
      <c r="E28" s="3" t="b">
        <v>0</v>
      </c>
    </row>
    <row r="29" spans="1:5" s="2" customFormat="1" x14ac:dyDescent="0.2">
      <c r="A29" s="3">
        <v>1</v>
      </c>
      <c r="B29" s="3">
        <v>13</v>
      </c>
      <c r="C29" s="3" t="s">
        <v>22</v>
      </c>
      <c r="D29" s="3">
        <v>9.19</v>
      </c>
      <c r="E29" s="3" t="b">
        <v>0</v>
      </c>
    </row>
    <row r="30" spans="1:5" s="2" customFormat="1" x14ac:dyDescent="0.2">
      <c r="A30" s="3">
        <v>1</v>
      </c>
      <c r="B30" s="3">
        <v>13</v>
      </c>
      <c r="C30" s="3" t="s">
        <v>22</v>
      </c>
      <c r="D30" s="3">
        <v>8.89</v>
      </c>
      <c r="E30" s="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87AC-D2A4-5F40-BC24-341BCF6329CD}">
  <dimension ref="A1:E68"/>
  <sheetViews>
    <sheetView workbookViewId="0">
      <selection activeCell="E1" sqref="E1:E1048576"/>
    </sheetView>
  </sheetViews>
  <sheetFormatPr baseColWidth="10" defaultRowHeight="16" x14ac:dyDescent="0.2"/>
  <cols>
    <col min="1" max="1" width="12" style="3" bestFit="1" customWidth="1"/>
    <col min="2" max="2" width="10.1640625" style="3" bestFit="1" customWidth="1"/>
    <col min="3" max="3" width="4.83203125" style="3" bestFit="1" customWidth="1"/>
    <col min="4" max="4" width="7.6640625" style="3" bestFit="1" customWidth="1"/>
    <col min="5" max="5" width="11" style="3" bestFit="1" customWidth="1"/>
    <col min="6" max="16384" width="10.83203125" style="2"/>
  </cols>
  <sheetData>
    <row r="1" spans="1:5" s="2" customFormat="1" x14ac:dyDescent="0.2">
      <c r="A1" s="1" t="s">
        <v>11</v>
      </c>
      <c r="B1" s="1" t="s">
        <v>0</v>
      </c>
      <c r="C1" s="1" t="s">
        <v>33</v>
      </c>
      <c r="D1" s="1" t="s">
        <v>24</v>
      </c>
      <c r="E1" s="1" t="s">
        <v>31</v>
      </c>
    </row>
    <row r="2" spans="1:5" s="2" customFormat="1" x14ac:dyDescent="0.2">
      <c r="A2" s="3">
        <v>2</v>
      </c>
      <c r="B2" s="3" t="s">
        <v>1</v>
      </c>
      <c r="C2" s="3" t="s">
        <v>22</v>
      </c>
      <c r="D2" s="3">
        <v>18.100000000000001</v>
      </c>
      <c r="E2" s="3" t="s">
        <v>30</v>
      </c>
    </row>
    <row r="3" spans="1:5" s="2" customFormat="1" x14ac:dyDescent="0.2">
      <c r="A3" s="3">
        <v>2</v>
      </c>
      <c r="B3" s="3" t="s">
        <v>1</v>
      </c>
      <c r="C3" s="3" t="s">
        <v>22</v>
      </c>
      <c r="D3" s="3">
        <v>19.100000000000001</v>
      </c>
      <c r="E3" s="3" t="s">
        <v>30</v>
      </c>
    </row>
    <row r="4" spans="1:5" s="2" customFormat="1" x14ac:dyDescent="0.2">
      <c r="A4" s="3">
        <v>2</v>
      </c>
      <c r="B4" s="3" t="s">
        <v>1</v>
      </c>
      <c r="C4" s="3" t="s">
        <v>21</v>
      </c>
      <c r="D4" s="3">
        <v>17.2</v>
      </c>
      <c r="E4" s="3" t="s">
        <v>30</v>
      </c>
    </row>
    <row r="5" spans="1:5" s="2" customFormat="1" x14ac:dyDescent="0.2">
      <c r="A5" s="3">
        <v>2</v>
      </c>
      <c r="B5" s="3" t="s">
        <v>1</v>
      </c>
      <c r="C5" s="3" t="s">
        <v>21</v>
      </c>
      <c r="D5" s="3">
        <v>15.2</v>
      </c>
      <c r="E5" s="3" t="s">
        <v>30</v>
      </c>
    </row>
    <row r="6" spans="1:5" s="2" customFormat="1" x14ac:dyDescent="0.2">
      <c r="A6" s="3">
        <v>2</v>
      </c>
      <c r="B6" s="3" t="s">
        <v>1</v>
      </c>
      <c r="C6" s="3" t="s">
        <v>21</v>
      </c>
      <c r="D6" s="3">
        <v>16</v>
      </c>
      <c r="E6" s="3" t="s">
        <v>30</v>
      </c>
    </row>
    <row r="7" spans="1:5" s="2" customFormat="1" x14ac:dyDescent="0.2">
      <c r="A7" s="3">
        <v>2</v>
      </c>
      <c r="B7" s="3" t="s">
        <v>1</v>
      </c>
      <c r="C7" s="3" t="s">
        <v>22</v>
      </c>
      <c r="D7" s="3">
        <v>18.2</v>
      </c>
      <c r="E7" s="3" t="s">
        <v>30</v>
      </c>
    </row>
    <row r="8" spans="1:5" s="2" customFormat="1" x14ac:dyDescent="0.2">
      <c r="A8" s="3">
        <v>2</v>
      </c>
      <c r="B8" s="3" t="s">
        <v>23</v>
      </c>
      <c r="C8" s="3" t="s">
        <v>21</v>
      </c>
      <c r="D8" s="3">
        <v>17.3</v>
      </c>
      <c r="E8" s="3" t="s">
        <v>30</v>
      </c>
    </row>
    <row r="9" spans="1:5" s="2" customFormat="1" x14ac:dyDescent="0.2">
      <c r="A9" s="3">
        <v>2</v>
      </c>
      <c r="B9" s="3" t="s">
        <v>23</v>
      </c>
      <c r="C9" s="3" t="s">
        <v>22</v>
      </c>
      <c r="D9" s="3">
        <v>18.899999999999999</v>
      </c>
      <c r="E9" s="3" t="s">
        <v>30</v>
      </c>
    </row>
    <row r="10" spans="1:5" s="2" customFormat="1" x14ac:dyDescent="0.2">
      <c r="A10" s="3">
        <v>2</v>
      </c>
      <c r="B10" s="3" t="s">
        <v>4</v>
      </c>
      <c r="C10" s="3" t="s">
        <v>22</v>
      </c>
      <c r="D10" s="3">
        <v>14.7</v>
      </c>
      <c r="E10" s="3" t="s">
        <v>30</v>
      </c>
    </row>
    <row r="11" spans="1:5" s="2" customFormat="1" x14ac:dyDescent="0.2">
      <c r="A11" s="3">
        <v>2</v>
      </c>
      <c r="B11" s="3" t="s">
        <v>4</v>
      </c>
      <c r="C11" s="3" t="s">
        <v>21</v>
      </c>
      <c r="D11" s="3">
        <v>13.9</v>
      </c>
      <c r="E11" s="3" t="s">
        <v>30</v>
      </c>
    </row>
    <row r="12" spans="1:5" s="2" customFormat="1" x14ac:dyDescent="0.2">
      <c r="A12" s="3">
        <v>2</v>
      </c>
      <c r="B12" s="3" t="s">
        <v>4</v>
      </c>
      <c r="C12" s="3" t="s">
        <v>22</v>
      </c>
      <c r="D12" s="3">
        <v>15.1</v>
      </c>
      <c r="E12" s="3" t="s">
        <v>30</v>
      </c>
    </row>
    <row r="13" spans="1:5" s="2" customFormat="1" x14ac:dyDescent="0.2">
      <c r="A13" s="3">
        <v>2</v>
      </c>
      <c r="B13" s="3" t="s">
        <v>4</v>
      </c>
      <c r="C13" s="3" t="s">
        <v>22</v>
      </c>
      <c r="D13" s="3">
        <v>15.3</v>
      </c>
      <c r="E13" s="3" t="s">
        <v>30</v>
      </c>
    </row>
    <row r="14" spans="1:5" s="2" customFormat="1" x14ac:dyDescent="0.2">
      <c r="A14" s="3">
        <v>2</v>
      </c>
      <c r="B14" s="3" t="s">
        <v>4</v>
      </c>
      <c r="C14" s="3" t="s">
        <v>22</v>
      </c>
      <c r="D14" s="3">
        <v>15.4</v>
      </c>
      <c r="E14" s="3" t="s">
        <v>30</v>
      </c>
    </row>
    <row r="15" spans="1:5" s="2" customFormat="1" x14ac:dyDescent="0.2">
      <c r="A15" s="3">
        <v>2</v>
      </c>
      <c r="B15" s="3" t="s">
        <v>4</v>
      </c>
      <c r="C15" s="3" t="s">
        <v>22</v>
      </c>
      <c r="D15" s="3">
        <v>15.8</v>
      </c>
      <c r="E15" s="3" t="s">
        <v>30</v>
      </c>
    </row>
    <row r="16" spans="1:5" s="2" customFormat="1" x14ac:dyDescent="0.2">
      <c r="A16" s="3">
        <v>2</v>
      </c>
      <c r="B16" s="3" t="s">
        <v>4</v>
      </c>
      <c r="C16" s="3" t="s">
        <v>21</v>
      </c>
      <c r="D16" s="3">
        <v>13.7</v>
      </c>
      <c r="E16" s="3" t="s">
        <v>30</v>
      </c>
    </row>
    <row r="17" spans="1:5" s="2" customFormat="1" x14ac:dyDescent="0.2">
      <c r="A17" s="3">
        <v>2</v>
      </c>
      <c r="B17" s="3" t="s">
        <v>10</v>
      </c>
      <c r="C17" s="3" t="s">
        <v>22</v>
      </c>
      <c r="D17" s="3">
        <v>17.5</v>
      </c>
      <c r="E17" s="3" t="s">
        <v>30</v>
      </c>
    </row>
    <row r="18" spans="1:5" s="2" customFormat="1" x14ac:dyDescent="0.2">
      <c r="A18" s="3">
        <v>2</v>
      </c>
      <c r="B18" s="3" t="s">
        <v>10</v>
      </c>
      <c r="C18" s="3" t="s">
        <v>21</v>
      </c>
      <c r="D18" s="3">
        <v>15.5</v>
      </c>
      <c r="E18" s="3" t="s">
        <v>30</v>
      </c>
    </row>
    <row r="19" spans="1:5" s="2" customFormat="1" x14ac:dyDescent="0.2">
      <c r="A19" s="3">
        <v>2</v>
      </c>
      <c r="B19" s="3" t="s">
        <v>10</v>
      </c>
      <c r="C19" s="3" t="s">
        <v>22</v>
      </c>
      <c r="D19" s="3">
        <v>16.7</v>
      </c>
      <c r="E19" s="3" t="s">
        <v>30</v>
      </c>
    </row>
    <row r="20" spans="1:5" s="2" customFormat="1" x14ac:dyDescent="0.2">
      <c r="A20" s="3">
        <v>2</v>
      </c>
      <c r="B20" s="3" t="s">
        <v>10</v>
      </c>
      <c r="C20" s="3" t="s">
        <v>22</v>
      </c>
      <c r="D20" s="3">
        <v>16.600000000000001</v>
      </c>
      <c r="E20" s="3" t="s">
        <v>30</v>
      </c>
    </row>
    <row r="21" spans="1:5" s="2" customFormat="1" x14ac:dyDescent="0.2">
      <c r="A21" s="3">
        <v>2</v>
      </c>
      <c r="B21" s="3" t="s">
        <v>10</v>
      </c>
      <c r="C21" s="3" t="s">
        <v>22</v>
      </c>
      <c r="D21" s="3">
        <v>18</v>
      </c>
      <c r="E21" s="3" t="s">
        <v>30</v>
      </c>
    </row>
    <row r="22" spans="1:5" s="2" customFormat="1" x14ac:dyDescent="0.2">
      <c r="A22" s="3">
        <v>2</v>
      </c>
      <c r="B22" s="3" t="s">
        <v>10</v>
      </c>
      <c r="C22" s="3" t="s">
        <v>22</v>
      </c>
      <c r="D22" s="3">
        <v>17.7</v>
      </c>
      <c r="E22" s="3" t="s">
        <v>30</v>
      </c>
    </row>
    <row r="23" spans="1:5" s="2" customFormat="1" x14ac:dyDescent="0.2">
      <c r="A23" s="3">
        <v>2</v>
      </c>
      <c r="B23" s="3" t="s">
        <v>10</v>
      </c>
      <c r="C23" s="3" t="s">
        <v>22</v>
      </c>
      <c r="D23" s="3">
        <v>17.100000000000001</v>
      </c>
      <c r="E23" s="3" t="s">
        <v>30</v>
      </c>
    </row>
    <row r="24" spans="1:5" s="2" customFormat="1" x14ac:dyDescent="0.2">
      <c r="A24" s="3">
        <v>2</v>
      </c>
      <c r="B24" s="3" t="s">
        <v>10</v>
      </c>
      <c r="C24" s="3" t="s">
        <v>22</v>
      </c>
      <c r="D24" s="3">
        <v>16.3</v>
      </c>
      <c r="E24" s="3" t="s">
        <v>30</v>
      </c>
    </row>
    <row r="25" spans="1:5" s="2" customFormat="1" x14ac:dyDescent="0.2">
      <c r="A25" s="3">
        <v>2</v>
      </c>
      <c r="B25" s="3" t="s">
        <v>10</v>
      </c>
      <c r="C25" s="3" t="s">
        <v>22</v>
      </c>
      <c r="D25" s="3">
        <v>17.3</v>
      </c>
      <c r="E25" s="3" t="s">
        <v>30</v>
      </c>
    </row>
    <row r="26" spans="1:5" s="2" customFormat="1" x14ac:dyDescent="0.2">
      <c r="A26" s="3">
        <v>2</v>
      </c>
      <c r="B26" s="3" t="s">
        <v>26</v>
      </c>
      <c r="C26" s="3" t="s">
        <v>21</v>
      </c>
      <c r="D26" s="3">
        <v>13.2</v>
      </c>
      <c r="E26" s="3" t="s">
        <v>30</v>
      </c>
    </row>
    <row r="27" spans="1:5" s="2" customFormat="1" x14ac:dyDescent="0.2">
      <c r="A27" s="3">
        <v>2</v>
      </c>
      <c r="B27" s="3" t="s">
        <v>26</v>
      </c>
      <c r="C27" s="3" t="s">
        <v>22</v>
      </c>
      <c r="D27" s="3">
        <v>16.399999999999999</v>
      </c>
      <c r="E27" s="3" t="s">
        <v>30</v>
      </c>
    </row>
    <row r="28" spans="1:5" s="2" customFormat="1" x14ac:dyDescent="0.2">
      <c r="A28" s="3">
        <v>2</v>
      </c>
      <c r="B28" s="3" t="s">
        <v>26</v>
      </c>
      <c r="C28" s="3" t="s">
        <v>22</v>
      </c>
      <c r="D28" s="3">
        <v>17.7</v>
      </c>
      <c r="E28" s="3" t="s">
        <v>30</v>
      </c>
    </row>
    <row r="29" spans="1:5" s="2" customFormat="1" x14ac:dyDescent="0.2">
      <c r="A29" s="3">
        <v>2</v>
      </c>
      <c r="B29" s="3" t="s">
        <v>26</v>
      </c>
      <c r="C29" s="3" t="s">
        <v>21</v>
      </c>
      <c r="D29" s="3">
        <v>15.3</v>
      </c>
      <c r="E29" s="3" t="s">
        <v>30</v>
      </c>
    </row>
    <row r="30" spans="1:5" s="2" customFormat="1" x14ac:dyDescent="0.2">
      <c r="A30" s="3">
        <v>2</v>
      </c>
      <c r="B30" s="3" t="s">
        <v>26</v>
      </c>
      <c r="C30" s="3" t="s">
        <v>21</v>
      </c>
      <c r="D30" s="3">
        <v>15.4</v>
      </c>
      <c r="E30" s="3" t="s">
        <v>30</v>
      </c>
    </row>
    <row r="31" spans="1:5" s="2" customFormat="1" x14ac:dyDescent="0.2">
      <c r="A31" s="3">
        <v>2</v>
      </c>
      <c r="B31" s="3" t="s">
        <v>26</v>
      </c>
      <c r="C31" s="3" t="s">
        <v>22</v>
      </c>
      <c r="D31" s="3">
        <v>16.100000000000001</v>
      </c>
      <c r="E31" s="3" t="s">
        <v>30</v>
      </c>
    </row>
    <row r="32" spans="1:5" s="2" customFormat="1" x14ac:dyDescent="0.2">
      <c r="A32" s="3">
        <v>2</v>
      </c>
      <c r="B32" s="3" t="s">
        <v>27</v>
      </c>
      <c r="C32" s="3" t="s">
        <v>22</v>
      </c>
      <c r="D32" s="3">
        <v>16.100000000000001</v>
      </c>
      <c r="E32" s="3" t="s">
        <v>30</v>
      </c>
    </row>
    <row r="33" spans="1:5" s="2" customFormat="1" x14ac:dyDescent="0.2">
      <c r="A33" s="3">
        <v>2</v>
      </c>
      <c r="B33" s="3" t="s">
        <v>27</v>
      </c>
      <c r="C33" s="3" t="s">
        <v>22</v>
      </c>
      <c r="D33" s="3">
        <v>14.8</v>
      </c>
      <c r="E33" s="3" t="s">
        <v>30</v>
      </c>
    </row>
    <row r="34" spans="1:5" s="2" customFormat="1" x14ac:dyDescent="0.2">
      <c r="A34" s="3">
        <v>2</v>
      </c>
      <c r="B34" s="3" t="s">
        <v>27</v>
      </c>
      <c r="C34" s="3" t="s">
        <v>21</v>
      </c>
      <c r="D34" s="3">
        <v>14.7</v>
      </c>
      <c r="E34" s="3" t="s">
        <v>30</v>
      </c>
    </row>
    <row r="35" spans="1:5" s="2" customFormat="1" x14ac:dyDescent="0.2">
      <c r="A35" s="3">
        <v>2</v>
      </c>
      <c r="B35" s="3" t="s">
        <v>27</v>
      </c>
      <c r="C35" s="3" t="s">
        <v>22</v>
      </c>
      <c r="D35" s="3">
        <v>15</v>
      </c>
      <c r="E35" s="3" t="s">
        <v>30</v>
      </c>
    </row>
    <row r="36" spans="1:5" s="2" customFormat="1" x14ac:dyDescent="0.2">
      <c r="A36" s="3">
        <v>2</v>
      </c>
      <c r="B36" s="3" t="s">
        <v>27</v>
      </c>
      <c r="C36" s="3" t="s">
        <v>21</v>
      </c>
      <c r="D36" s="3">
        <v>14.1</v>
      </c>
      <c r="E36" s="3" t="s">
        <v>30</v>
      </c>
    </row>
    <row r="37" spans="1:5" s="2" customFormat="1" x14ac:dyDescent="0.2">
      <c r="A37" s="3">
        <v>2</v>
      </c>
      <c r="B37" s="3" t="s">
        <v>27</v>
      </c>
      <c r="C37" s="3" t="s">
        <v>22</v>
      </c>
      <c r="D37" s="3">
        <v>15.8</v>
      </c>
      <c r="E37" s="3" t="s">
        <v>30</v>
      </c>
    </row>
    <row r="38" spans="1:5" s="2" customFormat="1" x14ac:dyDescent="0.2">
      <c r="A38" s="3">
        <v>2</v>
      </c>
      <c r="B38" s="3" t="s">
        <v>27</v>
      </c>
      <c r="C38" s="3" t="s">
        <v>22</v>
      </c>
      <c r="D38" s="3">
        <v>14.2</v>
      </c>
      <c r="E38" s="3" t="s">
        <v>30</v>
      </c>
    </row>
    <row r="39" spans="1:5" s="2" customFormat="1" x14ac:dyDescent="0.2">
      <c r="A39" s="3">
        <v>2</v>
      </c>
      <c r="B39" s="3" t="s">
        <v>6</v>
      </c>
      <c r="C39" s="3" t="s">
        <v>22</v>
      </c>
      <c r="D39" s="3">
        <v>20.399999999999999</v>
      </c>
      <c r="E39" s="3" t="s">
        <v>32</v>
      </c>
    </row>
    <row r="40" spans="1:5" s="2" customFormat="1" x14ac:dyDescent="0.2">
      <c r="A40" s="3">
        <v>2</v>
      </c>
      <c r="B40" s="3" t="s">
        <v>6</v>
      </c>
      <c r="C40" s="3" t="s">
        <v>21</v>
      </c>
      <c r="D40" s="3">
        <v>16.899999999999999</v>
      </c>
      <c r="E40" s="3" t="s">
        <v>32</v>
      </c>
    </row>
    <row r="41" spans="1:5" s="2" customFormat="1" x14ac:dyDescent="0.2">
      <c r="A41" s="3">
        <v>2</v>
      </c>
      <c r="B41" s="3" t="s">
        <v>6</v>
      </c>
      <c r="C41" s="3" t="s">
        <v>21</v>
      </c>
      <c r="D41" s="3">
        <v>15</v>
      </c>
      <c r="E41" s="3" t="s">
        <v>32</v>
      </c>
    </row>
    <row r="42" spans="1:5" s="2" customFormat="1" x14ac:dyDescent="0.2">
      <c r="A42" s="3">
        <v>2</v>
      </c>
      <c r="B42" s="3" t="s">
        <v>6</v>
      </c>
      <c r="C42" s="3" t="s">
        <v>21</v>
      </c>
      <c r="D42" s="3">
        <v>17.2</v>
      </c>
      <c r="E42" s="3" t="s">
        <v>32</v>
      </c>
    </row>
    <row r="43" spans="1:5" s="2" customFormat="1" x14ac:dyDescent="0.2">
      <c r="A43" s="3">
        <v>2</v>
      </c>
      <c r="B43" s="3" t="s">
        <v>6</v>
      </c>
      <c r="C43" s="3" t="s">
        <v>22</v>
      </c>
      <c r="D43" s="3">
        <v>18</v>
      </c>
      <c r="E43" s="3" t="s">
        <v>32</v>
      </c>
    </row>
    <row r="44" spans="1:5" s="2" customFormat="1" x14ac:dyDescent="0.2">
      <c r="A44" s="3">
        <v>2</v>
      </c>
      <c r="B44" s="3" t="s">
        <v>6</v>
      </c>
      <c r="C44" s="3" t="s">
        <v>22</v>
      </c>
      <c r="D44" s="3">
        <v>20</v>
      </c>
      <c r="E44" s="3" t="s">
        <v>32</v>
      </c>
    </row>
    <row r="45" spans="1:5" s="2" customFormat="1" x14ac:dyDescent="0.2">
      <c r="A45" s="3">
        <v>2</v>
      </c>
      <c r="B45" s="3" t="s">
        <v>6</v>
      </c>
      <c r="C45" s="3" t="s">
        <v>22</v>
      </c>
      <c r="D45" s="3">
        <v>18.899999999999999</v>
      </c>
      <c r="E45" s="3" t="s">
        <v>32</v>
      </c>
    </row>
    <row r="46" spans="1:5" s="2" customFormat="1" x14ac:dyDescent="0.2">
      <c r="A46" s="3">
        <v>2</v>
      </c>
      <c r="B46" s="3" t="s">
        <v>6</v>
      </c>
      <c r="C46" s="3" t="s">
        <v>22</v>
      </c>
      <c r="D46" s="3">
        <v>19.5</v>
      </c>
      <c r="E46" s="3" t="s">
        <v>32</v>
      </c>
    </row>
    <row r="47" spans="1:5" s="2" customFormat="1" x14ac:dyDescent="0.2">
      <c r="A47" s="3">
        <v>2</v>
      </c>
      <c r="B47" s="3" t="s">
        <v>7</v>
      </c>
      <c r="C47" s="3" t="s">
        <v>21</v>
      </c>
      <c r="D47" s="3">
        <v>17.399999999999999</v>
      </c>
      <c r="E47" s="3" t="s">
        <v>32</v>
      </c>
    </row>
    <row r="48" spans="1:5" s="2" customFormat="1" x14ac:dyDescent="0.2">
      <c r="A48" s="3">
        <v>2</v>
      </c>
      <c r="B48" s="3" t="s">
        <v>7</v>
      </c>
      <c r="C48" s="3" t="s">
        <v>22</v>
      </c>
      <c r="D48" s="3">
        <v>21</v>
      </c>
      <c r="E48" s="3" t="s">
        <v>32</v>
      </c>
    </row>
    <row r="49" spans="1:5" s="2" customFormat="1" x14ac:dyDescent="0.2">
      <c r="A49" s="3">
        <v>2</v>
      </c>
      <c r="B49" s="3" t="s">
        <v>7</v>
      </c>
      <c r="C49" s="3" t="s">
        <v>21</v>
      </c>
      <c r="D49" s="3">
        <v>17.399999999999999</v>
      </c>
      <c r="E49" s="3" t="s">
        <v>32</v>
      </c>
    </row>
    <row r="50" spans="1:5" s="2" customFormat="1" x14ac:dyDescent="0.2">
      <c r="A50" s="3">
        <v>2</v>
      </c>
      <c r="B50" s="3" t="s">
        <v>7</v>
      </c>
      <c r="C50" s="3" t="s">
        <v>22</v>
      </c>
      <c r="D50" s="3">
        <v>20.399999999999999</v>
      </c>
      <c r="E50" s="3" t="s">
        <v>32</v>
      </c>
    </row>
    <row r="51" spans="1:5" s="2" customFormat="1" x14ac:dyDescent="0.2">
      <c r="A51" s="3">
        <v>2</v>
      </c>
      <c r="B51" s="3" t="s">
        <v>7</v>
      </c>
      <c r="C51" s="3" t="s">
        <v>21</v>
      </c>
      <c r="D51" s="3">
        <v>17.899999999999999</v>
      </c>
      <c r="E51" s="3" t="s">
        <v>32</v>
      </c>
    </row>
    <row r="52" spans="1:5" s="2" customFormat="1" x14ac:dyDescent="0.2">
      <c r="A52" s="3">
        <v>2</v>
      </c>
      <c r="B52" s="3" t="s">
        <v>7</v>
      </c>
      <c r="C52" s="3" t="s">
        <v>22</v>
      </c>
      <c r="D52" s="3">
        <v>20.5</v>
      </c>
      <c r="E52" s="3" t="s">
        <v>32</v>
      </c>
    </row>
    <row r="53" spans="1:5" s="2" customFormat="1" x14ac:dyDescent="0.2">
      <c r="A53" s="3">
        <v>2</v>
      </c>
      <c r="B53" s="3" t="s">
        <v>7</v>
      </c>
      <c r="C53" s="3" t="s">
        <v>22</v>
      </c>
      <c r="D53" s="3">
        <v>15.9</v>
      </c>
      <c r="E53" s="3" t="s">
        <v>32</v>
      </c>
    </row>
    <row r="54" spans="1:5" s="2" customFormat="1" x14ac:dyDescent="0.2">
      <c r="A54" s="3">
        <v>2</v>
      </c>
      <c r="B54" s="3" t="s">
        <v>28</v>
      </c>
      <c r="C54" s="3" t="s">
        <v>22</v>
      </c>
      <c r="D54" s="3">
        <v>15.8</v>
      </c>
      <c r="E54" s="3" t="s">
        <v>32</v>
      </c>
    </row>
    <row r="55" spans="1:5" s="2" customFormat="1" x14ac:dyDescent="0.2">
      <c r="A55" s="3">
        <v>2</v>
      </c>
      <c r="B55" s="3" t="s">
        <v>28</v>
      </c>
      <c r="C55" s="3" t="s">
        <v>21</v>
      </c>
      <c r="D55" s="3">
        <v>13.9</v>
      </c>
      <c r="E55" s="3" t="s">
        <v>32</v>
      </c>
    </row>
    <row r="56" spans="1:5" s="2" customFormat="1" x14ac:dyDescent="0.2">
      <c r="A56" s="3">
        <v>2</v>
      </c>
      <c r="B56" s="3" t="s">
        <v>28</v>
      </c>
      <c r="C56" s="3" t="s">
        <v>21</v>
      </c>
      <c r="D56" s="3">
        <v>15</v>
      </c>
      <c r="E56" s="3" t="s">
        <v>32</v>
      </c>
    </row>
    <row r="57" spans="1:5" s="2" customFormat="1" x14ac:dyDescent="0.2">
      <c r="A57" s="3">
        <v>2</v>
      </c>
      <c r="B57" s="3" t="s">
        <v>28</v>
      </c>
      <c r="C57" s="3" t="s">
        <v>22</v>
      </c>
      <c r="D57" s="3">
        <v>14</v>
      </c>
      <c r="E57" s="3" t="s">
        <v>32</v>
      </c>
    </row>
    <row r="58" spans="1:5" s="2" customFormat="1" x14ac:dyDescent="0.2">
      <c r="A58" s="3">
        <v>2</v>
      </c>
      <c r="B58" s="3" t="s">
        <v>28</v>
      </c>
      <c r="C58" s="3" t="s">
        <v>21</v>
      </c>
      <c r="D58" s="3">
        <v>15.2</v>
      </c>
      <c r="E58" s="3" t="s">
        <v>32</v>
      </c>
    </row>
    <row r="59" spans="1:5" s="2" customFormat="1" x14ac:dyDescent="0.2">
      <c r="A59" s="3">
        <v>2</v>
      </c>
      <c r="B59" s="3" t="s">
        <v>28</v>
      </c>
      <c r="C59" s="3" t="s">
        <v>21</v>
      </c>
      <c r="D59" s="3">
        <v>16.399999999999999</v>
      </c>
      <c r="E59" s="3" t="s">
        <v>32</v>
      </c>
    </row>
    <row r="60" spans="1:5" s="2" customFormat="1" x14ac:dyDescent="0.2">
      <c r="A60" s="3">
        <v>2</v>
      </c>
      <c r="B60" s="3" t="s">
        <v>28</v>
      </c>
      <c r="C60" s="3" t="s">
        <v>22</v>
      </c>
      <c r="D60" s="3">
        <v>13.1</v>
      </c>
      <c r="E60" s="3" t="s">
        <v>32</v>
      </c>
    </row>
    <row r="61" spans="1:5" s="2" customFormat="1" x14ac:dyDescent="0.2">
      <c r="A61" s="3">
        <v>2</v>
      </c>
      <c r="B61" s="3" t="s">
        <v>29</v>
      </c>
      <c r="C61" s="3" t="s">
        <v>22</v>
      </c>
      <c r="D61" s="3">
        <v>16.100000000000001</v>
      </c>
      <c r="E61" s="3" t="s">
        <v>32</v>
      </c>
    </row>
    <row r="62" spans="1:5" s="2" customFormat="1" x14ac:dyDescent="0.2">
      <c r="A62" s="3">
        <v>2</v>
      </c>
      <c r="B62" s="3" t="s">
        <v>29</v>
      </c>
      <c r="C62" s="3" t="s">
        <v>21</v>
      </c>
      <c r="D62" s="3">
        <v>15</v>
      </c>
      <c r="E62" s="3" t="s">
        <v>32</v>
      </c>
    </row>
    <row r="63" spans="1:5" s="2" customFormat="1" x14ac:dyDescent="0.2">
      <c r="A63" s="3">
        <v>2</v>
      </c>
      <c r="B63" s="3" t="s">
        <v>29</v>
      </c>
      <c r="C63" s="3" t="s">
        <v>22</v>
      </c>
      <c r="D63" s="3">
        <v>16.600000000000001</v>
      </c>
      <c r="E63" s="3" t="s">
        <v>32</v>
      </c>
    </row>
    <row r="64" spans="1:5" s="2" customFormat="1" x14ac:dyDescent="0.2">
      <c r="A64" s="3">
        <v>2</v>
      </c>
      <c r="B64" s="3" t="s">
        <v>29</v>
      </c>
      <c r="C64" s="3" t="s">
        <v>21</v>
      </c>
      <c r="D64" s="3">
        <v>15.7</v>
      </c>
      <c r="E64" s="3" t="s">
        <v>32</v>
      </c>
    </row>
    <row r="65" spans="1:5" s="2" customFormat="1" x14ac:dyDescent="0.2">
      <c r="A65" s="3">
        <v>2</v>
      </c>
      <c r="B65" s="3" t="s">
        <v>29</v>
      </c>
      <c r="C65" s="3" t="s">
        <v>21</v>
      </c>
      <c r="D65" s="3">
        <v>16.3</v>
      </c>
      <c r="E65" s="3" t="s">
        <v>32</v>
      </c>
    </row>
    <row r="66" spans="1:5" s="2" customFormat="1" x14ac:dyDescent="0.2">
      <c r="A66" s="3">
        <v>2</v>
      </c>
      <c r="B66" s="3" t="s">
        <v>29</v>
      </c>
      <c r="C66" s="3" t="s">
        <v>22</v>
      </c>
      <c r="D66" s="3">
        <v>16.8</v>
      </c>
      <c r="E66" s="3" t="s">
        <v>32</v>
      </c>
    </row>
    <row r="67" spans="1:5" s="2" customFormat="1" x14ac:dyDescent="0.2">
      <c r="A67" s="3">
        <v>2</v>
      </c>
      <c r="B67" s="3" t="s">
        <v>29</v>
      </c>
      <c r="C67" s="3" t="s">
        <v>22</v>
      </c>
      <c r="D67" s="3">
        <v>16.899999999999999</v>
      </c>
      <c r="E67" s="3" t="s">
        <v>32</v>
      </c>
    </row>
    <row r="68" spans="1:5" s="2" customFormat="1" x14ac:dyDescent="0.2">
      <c r="A68" s="3">
        <v>2</v>
      </c>
      <c r="B68" s="3" t="s">
        <v>29</v>
      </c>
      <c r="C68" s="3" t="s">
        <v>22</v>
      </c>
      <c r="D68" s="3">
        <v>16.2</v>
      </c>
      <c r="E68" s="3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Dams</vt:lpstr>
      <vt:lpstr>Pups_Hypo1</vt:lpstr>
      <vt:lpstr>Pups_Hypo2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Zuffa, Simone</dc:creator>
  <cp:lastModifiedBy>Zuffa, Simone</cp:lastModifiedBy>
  <dcterms:created xsi:type="dcterms:W3CDTF">2025-10-23T20:24:16Z</dcterms:created>
  <dcterms:modified xsi:type="dcterms:W3CDTF">2026-03-21T00:55:33Z</dcterms:modified>
</cp:coreProperties>
</file>